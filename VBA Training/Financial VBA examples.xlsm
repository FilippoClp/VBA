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\Documents\AA Work\AA Zelfstandige\My Customers\Cronos - Learnia\VBA avondsessie\"/>
    </mc:Choice>
  </mc:AlternateContent>
  <bookViews>
    <workbookView xWindow="0" yWindow="0" windowWidth="23040" windowHeight="8808"/>
  </bookViews>
  <sheets>
    <sheet name="Commission Calculation" sheetId="1" r:id="rId1"/>
    <sheet name="Commission Calc Percentages" sheetId="2" r:id="rId2"/>
    <sheet name="RevenueCalc" sheetId="3" r:id="rId3"/>
    <sheet name="GiveColor" sheetId="4" r:id="rId4"/>
  </sheets>
  <functionGroups builtInGroupCount="18"/>
  <definedNames>
    <definedName name="_xlnm._FilterDatabase" localSheetId="3" hidden="1">GiveColor!$E$4:$E$237</definedName>
    <definedName name="SumSelected">GiveColor!$C$1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9" i="3" l="1"/>
  <c r="C18" i="3"/>
  <c r="C8" i="3"/>
  <c r="D8" i="3"/>
  <c r="G4" i="1"/>
  <c r="H22" i="3"/>
  <c r="G5" i="1"/>
  <c r="G6" i="1"/>
  <c r="G2" i="1"/>
  <c r="G3" i="1"/>
  <c r="H11" i="3"/>
  <c r="H1" i="3"/>
  <c r="H2" i="3"/>
  <c r="G7" i="1" l="1"/>
</calcChain>
</file>

<file path=xl/sharedStrings.xml><?xml version="1.0" encoding="utf-8"?>
<sst xmlns="http://schemas.openxmlformats.org/spreadsheetml/2006/main" count="61" uniqueCount="43">
  <si>
    <t>Sales Person</t>
  </si>
  <si>
    <t>Gasoline Cars</t>
  </si>
  <si>
    <t>Diesel Car</t>
  </si>
  <si>
    <t>LPG Car</t>
  </si>
  <si>
    <t>Hybrid Car</t>
  </si>
  <si>
    <t>Electrical Car</t>
  </si>
  <si>
    <t>Mike Smith</t>
  </si>
  <si>
    <t>Paul Doe</t>
  </si>
  <si>
    <t>Steven Jones</t>
  </si>
  <si>
    <t>Sofia James</t>
  </si>
  <si>
    <t>Cindy Bell</t>
  </si>
  <si>
    <t>From</t>
  </si>
  <si>
    <t>Percentages</t>
  </si>
  <si>
    <t>Diesel Cars</t>
  </si>
  <si>
    <t>LPG Cars</t>
  </si>
  <si>
    <t>Hybrid Cars</t>
  </si>
  <si>
    <t>Electrical Cars</t>
  </si>
  <si>
    <t>Commission</t>
  </si>
  <si>
    <t>Total</t>
  </si>
  <si>
    <t>Account</t>
  </si>
  <si>
    <t>Dr Amount</t>
  </si>
  <si>
    <t>Cr Amount</t>
  </si>
  <si>
    <t>Amount</t>
  </si>
  <si>
    <t>Waiting Account</t>
  </si>
  <si>
    <t>Description</t>
  </si>
  <si>
    <t>Dsc1</t>
  </si>
  <si>
    <t>Dsc2</t>
  </si>
  <si>
    <t>Dsc3</t>
  </si>
  <si>
    <t>Dsc4</t>
  </si>
  <si>
    <t>Dsc5</t>
  </si>
  <si>
    <t>Dsc6</t>
  </si>
  <si>
    <t>Dsc7</t>
  </si>
  <si>
    <t>Dsc8</t>
  </si>
  <si>
    <t>Dsc9</t>
  </si>
  <si>
    <t>Dsc10</t>
  </si>
  <si>
    <t>Dsc11</t>
  </si>
  <si>
    <t>Dsc12</t>
  </si>
  <si>
    <t>Dsc13</t>
  </si>
  <si>
    <t>Select cells that are related.</t>
  </si>
  <si>
    <t>Then Shift+Ctrl+K to give a unique color</t>
  </si>
  <si>
    <t>Sum selected:</t>
  </si>
  <si>
    <t>60Acct-70Acct</t>
  </si>
  <si>
    <t>Profit (6Acct-7Acct)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</si>
</sst>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.00_);_(* \(#,##0.00\);_(* &quot;-&quot;??_);_(@_)"/>
    <numFmt numFmtId="165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1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1" fillId="9" borderId="3" applyNumberFormat="0" applyFont="0" applyAlignment="0" applyProtection="0"/>
  </cellStyleXfs>
  <cellXfs count="25">
    <xf numFmtId="0" fontId="0" fillId="0" borderId="0" xfId="0"/>
    <xf numFmtId="164" fontId="0" fillId="0" borderId="0" xfId="1" applyFont="1"/>
    <xf numFmtId="165" fontId="0" fillId="0" borderId="0" xfId="1" applyNumberFormat="1" applyFont="1"/>
    <xf numFmtId="3" fontId="0" fillId="0" borderId="0" xfId="1" applyNumberFormat="1" applyFont="1"/>
    <xf numFmtId="9" fontId="0" fillId="0" borderId="0" xfId="2" applyFont="1"/>
    <xf numFmtId="0" fontId="0" fillId="0" borderId="0" xfId="0" applyAlignment="1">
      <alignment horizontal="center"/>
    </xf>
    <xf numFmtId="0" fontId="0" fillId="0" borderId="0" xfId="0" applyNumberFormat="1"/>
    <xf numFmtId="165" fontId="0" fillId="0" borderId="0" xfId="0" applyNumberFormat="1"/>
    <xf numFmtId="164" fontId="0" fillId="0" borderId="1" xfId="1" applyNumberFormat="1" applyFont="1" applyBorder="1"/>
    <xf numFmtId="164" fontId="0" fillId="0" borderId="0" xfId="0" applyNumberFormat="1"/>
    <xf numFmtId="0" fontId="3" fillId="7" borderId="0" xfId="8" applyFont="1"/>
    <xf numFmtId="164" fontId="1" fillId="0" borderId="2" xfId="0" applyNumberFormat="1" applyFont="1" applyBorder="1"/>
    <xf numFmtId="0" fontId="2" fillId="8" borderId="0" xfId="9"/>
    <xf numFmtId="0" fontId="2" fillId="3" borderId="0" xfId="4"/>
    <xf numFmtId="0" fontId="0" fillId="0" borderId="0" xfId="0" applyFill="1"/>
    <xf numFmtId="0" fontId="0" fillId="0" borderId="0" xfId="0" applyAlignment="1">
      <alignment horizontal="right"/>
    </xf>
    <xf numFmtId="9" fontId="0" fillId="0" borderId="0" xfId="0" applyNumberFormat="1"/>
    <xf numFmtId="4" fontId="0" fillId="0" borderId="0" xfId="1" applyNumberFormat="1" applyFont="1" applyFill="1"/>
    <xf numFmtId="4" fontId="0" fillId="9" borderId="3" xfId="10" applyNumberFormat="1" applyFont="1"/>
    <xf numFmtId="0" fontId="2" fillId="6" borderId="0" xfId="7"/>
    <xf numFmtId="0" fontId="2" fillId="2" borderId="0" xfId="3" applyAlignment="1">
      <alignment horizontal="center"/>
    </xf>
    <xf numFmtId="0" fontId="2" fillId="3" borderId="0" xfId="4" applyAlignment="1">
      <alignment horizontal="center"/>
    </xf>
    <xf numFmtId="0" fontId="2" fillId="6" borderId="0" xfId="7" applyAlignment="1">
      <alignment horizontal="center"/>
    </xf>
    <xf numFmtId="0" fontId="2" fillId="4" borderId="0" xfId="5" applyAlignment="1">
      <alignment horizontal="center"/>
    </xf>
    <xf numFmtId="0" fontId="2" fillId="5" borderId="0" xfId="6" applyAlignment="1">
      <alignment horizontal="center"/>
    </xf>
  </cellXfs>
  <cellStyles count="11">
    <cellStyle name="60% - Accent1" xfId="8" builtinId="32"/>
    <cellStyle name="Accent1" xfId="3" builtinId="29"/>
    <cellStyle name="Accent2" xfId="4" builtinId="33"/>
    <cellStyle name="Accent3" xfId="9" builtinId="37"/>
    <cellStyle name="Accent4" xfId="5" builtinId="41"/>
    <cellStyle name="Accent5" xfId="6" builtinId="45"/>
    <cellStyle name="Accent6" xfId="7" builtinId="49"/>
    <cellStyle name="Comma" xfId="1" builtinId="3"/>
    <cellStyle name="Normal" xfId="0" builtinId="0"/>
    <cellStyle name="Note" xfId="10" builtinId="10"/>
    <cellStyle name="Percent" xfId="2" builtinId="5"/>
  </cellStyles>
  <dxfs count="29">
    <dxf>
      <numFmt numFmtId="4" formatCode="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border diagonalUp="0" diagonalDown="0" outline="0">
        <left/>
        <right style="thin">
          <color theme="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border diagonalUp="0" diagonalDown="0">
        <left/>
        <right style="thin">
          <color theme="4"/>
        </right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 style="thin">
          <color theme="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border diagonalUp="0" diagonalDown="0">
        <left/>
        <right style="thin">
          <color theme="4"/>
        </right>
        <top style="thin">
          <color theme="4"/>
        </top>
        <bottom/>
        <vertical/>
        <horizontal/>
      </border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0" formatCode="General"/>
    </dxf>
    <dxf>
      <numFmt numFmtId="165" formatCode="_(* #,##0_);_(* \(#,##0\);_(* &quot;-&quot;??_);_(@_)"/>
    </dxf>
    <dxf>
      <numFmt numFmtId="0" formatCode="General"/>
    </dxf>
    <dxf>
      <numFmt numFmtId="165" formatCode="_(* #,##0_);_(* \(#,##0\);_(* &quot;-&quot;??_);_(@_)"/>
    </dxf>
    <dxf>
      <numFmt numFmtId="0" formatCode="General"/>
    </dxf>
    <dxf>
      <numFmt numFmtId="165" formatCode="_(* #,##0_);_(* \(#,##0\);_(* &quot;-&quot;??_);_(@_)"/>
    </dxf>
    <dxf>
      <numFmt numFmtId="0" formatCode="General"/>
    </dxf>
    <dxf>
      <numFmt numFmtId="165" formatCode="_(* #,##0_);_(* \(#,##0\);_(* &quot;-&quot;??_);_(@_)"/>
    </dxf>
    <dxf>
      <numFmt numFmtId="0" formatCode="General"/>
    </dxf>
    <dxf>
      <numFmt numFmtId="165" formatCode="_(* #,##0_);_(* \(#,##0\);_(* &quot;-&quot;??_);_(@_)"/>
    </dxf>
  </dxfs>
  <tableStyles count="0" defaultTableStyle="TableStyleMedium2" defaultPivotStyle="PivotStyleLight16"/>
  <colors>
    <mruColors>
      <color rgb="FFF2F2EE"/>
      <color rgb="FFF0F0F0"/>
      <color rgb="FFFAFAFA"/>
      <color rgb="FFFFFF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1" displayName="Table1" ref="A1:G7" totalsRowCount="1">
  <autoFilter ref="A1:G6"/>
  <tableColumns count="7">
    <tableColumn id="1" name="Sales Person" totalsRowLabel="Total"/>
    <tableColumn id="2" name="Gasoline Cars" dataDxfId="28" totalsRowDxfId="27" dataCellStyle="Comma"/>
    <tableColumn id="3" name="Diesel Car" dataDxfId="26" totalsRowDxfId="25" dataCellStyle="Comma"/>
    <tableColumn id="4" name="LPG Car" dataDxfId="24" totalsRowDxfId="23" dataCellStyle="Comma"/>
    <tableColumn id="5" name="Hybrid Car" dataDxfId="22" totalsRowDxfId="21" dataCellStyle="Comma"/>
    <tableColumn id="6" name="Electrical Car" dataDxfId="20" totalsRowDxfId="19" dataCellStyle="Comma"/>
    <tableColumn id="7" name="Commission" totalsRowFunction="sum" dataDxfId="18" totalsRowDxfId="17" dataCellStyle="Comma">
      <calculatedColumnFormula>CommissionCalc(Table1[[#This Row],[Gasoline Cars]],tblGasoline[])+CommissionCalc(Table1[[#This Row],[Diesel Car]],tblDiesel[])+CommissionCalc(Table1[[#This Row],[LPG Car]],tblLpg[])+CommissionCalc(Table1[[#This Row],[Hybrid Car]],tblHybrid[])+CommissionCalc(Table1[[#This Row],[Electrical Car]],tblElectrical[])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Gasoline" displayName="tblGasoline" ref="A3:B7" totalsRowShown="0">
  <autoFilter ref="A3:B7"/>
  <tableColumns count="2">
    <tableColumn id="1" name="From" dataDxfId="16" dataCellStyle="Comma"/>
    <tableColumn id="2" name="Percentages" dataDxfId="15" dataCellStyle="Percent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blDiesel" displayName="tblDiesel" ref="D3:E7" totalsRowShown="0">
  <autoFilter ref="D3:E7"/>
  <tableColumns count="2">
    <tableColumn id="1" name="From" dataDxfId="14" dataCellStyle="Comma"/>
    <tableColumn id="2" name="Percentages" dataDxfId="13" dataCellStyle="Percent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4" name="tblLpg" displayName="tblLpg" ref="G3:H7" totalsRowShown="0">
  <autoFilter ref="G3:H7"/>
  <tableColumns count="2">
    <tableColumn id="1" name="From" dataDxfId="12" dataCellStyle="Comma"/>
    <tableColumn id="2" name="Percentages" dataDxfId="11" dataCellStyle="Percent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id="5" name="tblHybrid" displayName="tblHybrid" ref="J3:K7" totalsRowShown="0">
  <autoFilter ref="J3:K7"/>
  <tableColumns count="2">
    <tableColumn id="1" name="From" dataDxfId="10" dataCellStyle="Comma"/>
    <tableColumn id="2" name="Percentages" dataDxfId="9" dataCellStyle="Percent"/>
  </tableColumns>
  <tableStyleInfo name="TableStyleLight12" showFirstColumn="0" showLastColumn="0" showRowStripes="1" showColumnStripes="0"/>
</table>
</file>

<file path=xl/tables/table6.xml><?xml version="1.0" encoding="utf-8"?>
<table xmlns="http://schemas.openxmlformats.org/spreadsheetml/2006/main" id="6" name="tblElectrical" displayName="tblElectrical" ref="M3:N8" totalsRowShown="0">
  <autoFilter ref="M3:N8"/>
  <tableColumns count="2">
    <tableColumn id="1" name="From" dataDxfId="8" dataCellStyle="Comma"/>
    <tableColumn id="2" name="Percentages" dataDxfId="7" dataCellStyle="Percent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id="8" name="tblTransactions" displayName="tblTransactions" ref="B1:D8" totalsRowCount="1">
  <autoFilter ref="B1:D7"/>
  <tableColumns count="3">
    <tableColumn id="1" name="Account" totalsRowLabel="Total"/>
    <tableColumn id="2" name="Dr Amount" totalsRowFunction="sum" totalsRowDxfId="6" dataCellStyle="Comma"/>
    <tableColumn id="3" name="Cr Amount" totalsRowFunction="sum" totalsRowDxfId="5" dataCellStyle="Comma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7" name="tblTransactions2" displayName="tblTransactions2" ref="B11:C18" totalsRowCount="1">
  <autoFilter ref="B11:C17"/>
  <tableColumns count="2">
    <tableColumn id="1" name="Account" totalsRowLabel="Total"/>
    <tableColumn id="2" name="Amount" totalsRowFunction="sum" dataDxfId="4" totalsRowDxfId="3" dataCellStyle="Comma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id="9" name="tblTransactions3" displayName="tblTransactions3" ref="B22:C29" totalsRowCount="1">
  <autoFilter ref="B22:C28"/>
  <tableColumns count="2">
    <tableColumn id="1" name="Account" totalsRowLabel="Total"/>
    <tableColumn id="2" name="Amount" totalsRowFunction="sum" dataDxfId="2" totalsRowDxfId="1" dataCellStyle="Comma"/>
  </tableColumns>
  <tableStyleInfo name="TableStyleLight10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A3:C16" totalsRowShown="0">
  <autoFilter ref="A3:C16"/>
  <tableColumns count="3">
    <tableColumn id="1" name="Waiting Account"/>
    <tableColumn id="2" name="Description"/>
    <tableColumn id="3" name="Amount" dataDxfId="0" dataCellStyle="Comma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M7"/>
  <sheetViews>
    <sheetView tabSelected="1" workbookViewId="0">
      <selection activeCell="A2" sqref="A2"/>
    </sheetView>
  </sheetViews>
  <sheetFormatPr defaultRowHeight="14.4" x14ac:dyDescent="0.55000000000000004"/>
  <cols>
    <col min="1" max="1" width="13.05078125" bestFit="1" customWidth="1"/>
    <col min="2" max="2" width="13.83984375" bestFit="1" customWidth="1"/>
    <col min="3" max="3" width="10.9453125" bestFit="1" customWidth="1"/>
    <col min="4" max="4" width="9.15625" bestFit="1" customWidth="1"/>
    <col min="5" max="5" width="11.41796875" bestFit="1" customWidth="1"/>
    <col min="6" max="6" width="13.26171875" bestFit="1" customWidth="1"/>
    <col min="7" max="7" width="14.3125" customWidth="1"/>
    <col min="11" max="11" width="9.7890625" bestFit="1" customWidth="1"/>
  </cols>
  <sheetData>
    <row r="1" spans="1:13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17</v>
      </c>
    </row>
    <row r="2" spans="1:13" x14ac:dyDescent="0.55000000000000004">
      <c r="A2" t="s">
        <v>6</v>
      </c>
      <c r="B2" s="2">
        <v>10000</v>
      </c>
      <c r="C2" s="2">
        <v>10000</v>
      </c>
      <c r="D2" s="2">
        <v>10000</v>
      </c>
      <c r="E2" s="2">
        <v>10000</v>
      </c>
      <c r="F2" s="2">
        <v>10000</v>
      </c>
      <c r="G2" s="2">
        <f>CommissionCalc(Table1[[#This Row],[Gasoline Cars]],tblGasoline[])+CommissionCalc(Table1[[#This Row],[Diesel Car]],tblDiesel[])+CommissionCalc(Table1[[#This Row],[LPG Car]],tblLpg[])+CommissionCalc(Table1[[#This Row],[Hybrid Car]],tblHybrid[])+CommissionCalc(Table1[[#This Row],[Electrical Car]],tblElectrical[])</f>
        <v>1300</v>
      </c>
      <c r="K2" s="2"/>
      <c r="L2" s="16"/>
      <c r="M2" s="2"/>
    </row>
    <row r="3" spans="1:13" x14ac:dyDescent="0.55000000000000004">
      <c r="A3" t="s">
        <v>7</v>
      </c>
      <c r="B3" s="2">
        <v>125000</v>
      </c>
      <c r="C3" s="2">
        <v>80000</v>
      </c>
      <c r="D3" s="2">
        <v>120000</v>
      </c>
      <c r="E3" s="2">
        <v>240000</v>
      </c>
      <c r="F3" s="2">
        <v>12000</v>
      </c>
      <c r="G3" s="2">
        <f>CommissionCalc(Table1[[#This Row],[Gasoline Cars]],tblGasoline[])+CommissionCalc(Table1[[#This Row],[Diesel Car]],tblDiesel[])+CommissionCalc(Table1[[#This Row],[LPG Car]],tblLpg[])+CommissionCalc(Table1[[#This Row],[Hybrid Car]],tblHybrid[])+CommissionCalc(Table1[[#This Row],[Electrical Car]],tblElectrical[])</f>
        <v>40110</v>
      </c>
      <c r="K3" s="2"/>
      <c r="L3" s="16"/>
      <c r="M3" s="2"/>
    </row>
    <row r="4" spans="1:13" x14ac:dyDescent="0.55000000000000004">
      <c r="A4" t="s">
        <v>8</v>
      </c>
      <c r="B4" s="2">
        <v>60000</v>
      </c>
      <c r="C4" s="2">
        <v>120000</v>
      </c>
      <c r="D4" s="2">
        <v>130000</v>
      </c>
      <c r="E4" s="2">
        <v>210000</v>
      </c>
      <c r="F4" s="2">
        <v>170000</v>
      </c>
      <c r="G4" s="2">
        <f>CommissionCalc(Table1[[#This Row],[Gasoline Cars]],tblGasoline[])+CommissionCalc(Table1[[#This Row],[Diesel Car]],tblDiesel[])+CommissionCalc(Table1[[#This Row],[LPG Car]],tblLpg[])+CommissionCalc(Table1[[#This Row],[Hybrid Car]],tblHybrid[])+CommissionCalc(Table1[[#This Row],[Electrical Car]],tblElectrical[])</f>
        <v>50200</v>
      </c>
    </row>
    <row r="5" spans="1:13" x14ac:dyDescent="0.55000000000000004">
      <c r="A5" t="s">
        <v>9</v>
      </c>
      <c r="B5" s="2">
        <v>50000</v>
      </c>
      <c r="C5" s="2">
        <v>80000</v>
      </c>
      <c r="D5" s="2">
        <v>110000</v>
      </c>
      <c r="E5" s="2">
        <v>130000</v>
      </c>
      <c r="F5" s="2">
        <v>180000</v>
      </c>
      <c r="G5" s="2">
        <f>CommissionCalc(Table1[[#This Row],[Gasoline Cars]],tblGasoline[])+CommissionCalc(Table1[[#This Row],[Diesel Car]],tblDiesel[])+CommissionCalc(Table1[[#This Row],[LPG Car]],tblLpg[])+CommissionCalc(Table1[[#This Row],[Hybrid Car]],tblHybrid[])+CommissionCalc(Table1[[#This Row],[Electrical Car]],tblElectrical[])</f>
        <v>36800</v>
      </c>
    </row>
    <row r="6" spans="1:13" x14ac:dyDescent="0.55000000000000004">
      <c r="A6" t="s">
        <v>10</v>
      </c>
      <c r="B6" s="2">
        <v>100000</v>
      </c>
      <c r="C6" s="2">
        <v>120000</v>
      </c>
      <c r="D6" s="2">
        <v>85000</v>
      </c>
      <c r="E6" s="2">
        <v>150000</v>
      </c>
      <c r="F6" s="2">
        <v>900000</v>
      </c>
      <c r="G6" s="2">
        <f>CommissionCalc(Table1[[#This Row],[Gasoline Cars]],tblGasoline[])+CommissionCalc(Table1[[#This Row],[Diesel Car]],tblDiesel[])+CommissionCalc(Table1[[#This Row],[LPG Car]],tblLpg[])+CommissionCalc(Table1[[#This Row],[Hybrid Car]],tblHybrid[])+CommissionCalc(Table1[[#This Row],[Electrical Car]],tblElectrical[])</f>
        <v>189850</v>
      </c>
    </row>
    <row r="7" spans="1:13" x14ac:dyDescent="0.55000000000000004">
      <c r="A7" t="s">
        <v>18</v>
      </c>
      <c r="B7" s="6"/>
      <c r="C7" s="6"/>
      <c r="D7" s="6"/>
      <c r="E7" s="6"/>
      <c r="F7" s="6"/>
      <c r="G7" s="7">
        <f>SUBTOTAL(109,Table1[Commission])</f>
        <v>318260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N15"/>
  <sheetViews>
    <sheetView workbookViewId="0">
      <selection activeCell="B5" sqref="B5"/>
    </sheetView>
  </sheetViews>
  <sheetFormatPr defaultRowHeight="14.4" x14ac:dyDescent="0.55000000000000004"/>
  <cols>
    <col min="1" max="1" width="12.26171875" bestFit="1" customWidth="1"/>
    <col min="2" max="2" width="12.1015625" customWidth="1"/>
    <col min="3" max="3" width="5.68359375" customWidth="1"/>
    <col min="4" max="4" width="7.15625" bestFit="1" customWidth="1"/>
    <col min="5" max="5" width="12.1015625" customWidth="1"/>
    <col min="6" max="6" width="6.68359375" customWidth="1"/>
    <col min="7" max="7" width="7.15625" bestFit="1" customWidth="1"/>
    <col min="8" max="8" width="12.1015625" customWidth="1"/>
    <col min="9" max="9" width="6.68359375" customWidth="1"/>
    <col min="10" max="10" width="7.15625" bestFit="1" customWidth="1"/>
    <col min="11" max="11" width="12.1015625" customWidth="1"/>
    <col min="12" max="12" width="8.05078125" customWidth="1"/>
    <col min="13" max="13" width="7.15625" bestFit="1" customWidth="1"/>
    <col min="14" max="14" width="12.1015625" customWidth="1"/>
  </cols>
  <sheetData>
    <row r="1" spans="1:14" x14ac:dyDescent="0.55000000000000004">
      <c r="A1" s="20" t="s">
        <v>1</v>
      </c>
      <c r="B1" s="20"/>
      <c r="D1" s="21" t="s">
        <v>13</v>
      </c>
      <c r="E1" s="21"/>
      <c r="G1" s="22" t="s">
        <v>14</v>
      </c>
      <c r="H1" s="22"/>
      <c r="J1" s="23" t="s">
        <v>15</v>
      </c>
      <c r="K1" s="23"/>
      <c r="M1" s="24" t="s">
        <v>16</v>
      </c>
      <c r="N1" s="24"/>
    </row>
    <row r="2" spans="1:14" ht="3.9" customHeight="1" x14ac:dyDescent="0.55000000000000004">
      <c r="A2" s="5"/>
      <c r="B2" s="5"/>
      <c r="D2" s="5"/>
      <c r="E2" s="5"/>
      <c r="G2" s="5"/>
      <c r="H2" s="5"/>
      <c r="J2" s="5"/>
      <c r="K2" s="5"/>
      <c r="M2" s="5"/>
      <c r="N2" s="5"/>
    </row>
    <row r="3" spans="1:14" x14ac:dyDescent="0.55000000000000004">
      <c r="A3" t="s">
        <v>11</v>
      </c>
      <c r="B3" t="s">
        <v>12</v>
      </c>
      <c r="D3" t="s">
        <v>11</v>
      </c>
      <c r="E3" t="s">
        <v>12</v>
      </c>
      <c r="G3" t="s">
        <v>11</v>
      </c>
      <c r="H3" t="s">
        <v>12</v>
      </c>
      <c r="J3" t="s">
        <v>11</v>
      </c>
      <c r="K3" t="s">
        <v>12</v>
      </c>
      <c r="M3" t="s">
        <v>11</v>
      </c>
      <c r="N3" t="s">
        <v>12</v>
      </c>
    </row>
    <row r="4" spans="1:14" x14ac:dyDescent="0.55000000000000004">
      <c r="A4" s="3">
        <v>0</v>
      </c>
      <c r="B4" s="4">
        <v>0.03</v>
      </c>
      <c r="D4" s="3">
        <v>0</v>
      </c>
      <c r="E4" s="4">
        <v>0.01</v>
      </c>
      <c r="G4" s="3">
        <v>0</v>
      </c>
      <c r="H4" s="4">
        <v>0.03</v>
      </c>
      <c r="J4" s="3">
        <v>0</v>
      </c>
      <c r="K4" s="4">
        <v>0.03</v>
      </c>
      <c r="M4" s="3">
        <v>0</v>
      </c>
      <c r="N4" s="4">
        <v>0.03</v>
      </c>
    </row>
    <row r="5" spans="1:14" x14ac:dyDescent="0.55000000000000004">
      <c r="A5" s="3">
        <v>50000</v>
      </c>
      <c r="B5" s="4">
        <v>0.05</v>
      </c>
      <c r="D5" s="3">
        <v>50000</v>
      </c>
      <c r="E5" s="4">
        <v>0.02</v>
      </c>
      <c r="G5" s="3">
        <v>50000</v>
      </c>
      <c r="H5" s="4">
        <v>0.05</v>
      </c>
      <c r="J5" s="3">
        <v>50000</v>
      </c>
      <c r="K5" s="4">
        <v>0.1</v>
      </c>
      <c r="M5" s="3">
        <v>50000</v>
      </c>
      <c r="N5" s="4">
        <v>0.1</v>
      </c>
    </row>
    <row r="6" spans="1:14" x14ac:dyDescent="0.55000000000000004">
      <c r="A6" s="3">
        <v>100000</v>
      </c>
      <c r="B6" s="4">
        <v>7.0000000000000007E-2</v>
      </c>
      <c r="D6" s="3">
        <v>100000</v>
      </c>
      <c r="E6" s="4">
        <v>0.03</v>
      </c>
      <c r="G6" s="3">
        <v>100000</v>
      </c>
      <c r="H6" s="4">
        <v>7.0000000000000007E-2</v>
      </c>
      <c r="J6" s="3">
        <v>100000</v>
      </c>
      <c r="K6" s="4">
        <v>0.15</v>
      </c>
      <c r="M6" s="3">
        <v>100000</v>
      </c>
      <c r="N6" s="4">
        <v>0.15</v>
      </c>
    </row>
    <row r="7" spans="1:14" x14ac:dyDescent="0.55000000000000004">
      <c r="A7" s="3">
        <v>500000</v>
      </c>
      <c r="B7" s="4">
        <v>0.1</v>
      </c>
      <c r="D7" s="3">
        <v>500000</v>
      </c>
      <c r="E7" s="4">
        <v>0.04</v>
      </c>
      <c r="G7" s="3">
        <v>500000</v>
      </c>
      <c r="H7" s="4">
        <v>0.1</v>
      </c>
      <c r="J7" s="3">
        <v>500000</v>
      </c>
      <c r="K7" s="4">
        <v>0.2</v>
      </c>
      <c r="M7" s="3">
        <v>500000</v>
      </c>
      <c r="N7" s="4">
        <v>0.2</v>
      </c>
    </row>
    <row r="8" spans="1:14" x14ac:dyDescent="0.55000000000000004">
      <c r="B8" s="4"/>
      <c r="M8" s="3">
        <v>700000</v>
      </c>
      <c r="N8" s="4">
        <v>0.3</v>
      </c>
    </row>
    <row r="9" spans="1:14" x14ac:dyDescent="0.55000000000000004">
      <c r="B9" s="4"/>
    </row>
    <row r="10" spans="1:14" x14ac:dyDescent="0.55000000000000004">
      <c r="B10" s="4"/>
    </row>
    <row r="11" spans="1:14" x14ac:dyDescent="0.55000000000000004">
      <c r="B11" s="4"/>
    </row>
    <row r="12" spans="1:14" x14ac:dyDescent="0.55000000000000004">
      <c r="A12" s="1"/>
      <c r="B12" s="1"/>
    </row>
    <row r="13" spans="1:14" x14ac:dyDescent="0.55000000000000004">
      <c r="A13" s="1"/>
      <c r="B13" s="1"/>
    </row>
    <row r="14" spans="1:14" x14ac:dyDescent="0.55000000000000004">
      <c r="A14" s="1"/>
      <c r="B14" s="1"/>
    </row>
    <row r="15" spans="1:14" x14ac:dyDescent="0.55000000000000004">
      <c r="B15" s="4"/>
    </row>
  </sheetData>
  <mergeCells count="5">
    <mergeCell ref="A1:B1"/>
    <mergeCell ref="D1:E1"/>
    <mergeCell ref="G1:H1"/>
    <mergeCell ref="J1:K1"/>
    <mergeCell ref="M1:N1"/>
  </mergeCells>
  <pageMargins left="0.7" right="0.7" top="0.75" bottom="0.75" header="0.3" footer="0.3"/>
  <pageSetup orientation="portrait" horizontalDpi="4294967293" verticalDpi="0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/>
  </sheetPr>
  <dimension ref="B1:H29"/>
  <sheetViews>
    <sheetView zoomScale="145" zoomScaleNormal="145" workbookViewId="0">
      <selection activeCell="G7" sqref="G7"/>
    </sheetView>
  </sheetViews>
  <sheetFormatPr defaultRowHeight="14.4" x14ac:dyDescent="0.55000000000000004"/>
  <cols>
    <col min="2" max="2" width="9.47265625" bestFit="1" customWidth="1"/>
    <col min="3" max="3" width="11.7890625" bestFit="1" customWidth="1"/>
    <col min="4" max="4" width="11.62890625" bestFit="1" customWidth="1"/>
    <col min="6" max="6" width="4" customWidth="1"/>
    <col min="7" max="7" width="16.26171875" bestFit="1" customWidth="1"/>
    <col min="8" max="8" width="5.83984375" customWidth="1"/>
  </cols>
  <sheetData>
    <row r="1" spans="2:8" x14ac:dyDescent="0.55000000000000004">
      <c r="B1" t="s">
        <v>19</v>
      </c>
      <c r="C1" t="s">
        <v>20</v>
      </c>
      <c r="D1" t="s">
        <v>21</v>
      </c>
      <c r="G1" t="s">
        <v>42</v>
      </c>
      <c r="H1" s="10">
        <f>RevenueCalc("7",tblTransactions[Account],tblTransactions[Cr Amount],TRUE,"6",tblTransactions[Account],tblTransactions[Dr Amount],FALSE,"7",tblTransactions[Account],tblTransactions[Dr Amount],FALSE,"6",tblTransactions[Account],tblTransactions[Cr Amount],TRUE)</f>
        <v>-170</v>
      </c>
    </row>
    <row r="2" spans="2:8" x14ac:dyDescent="0.55000000000000004">
      <c r="B2">
        <v>700000</v>
      </c>
      <c r="C2" s="1"/>
      <c r="D2" s="1">
        <v>500</v>
      </c>
      <c r="G2" t="s">
        <v>41</v>
      </c>
      <c r="H2" s="19">
        <f>RevenueCalc(70,tblTransactions[Account],tblTransactions[Cr Amount],TRUE,60,tblTransactions[Account],tblTransactions[Dr Amount],FALSE)</f>
        <v>-250</v>
      </c>
    </row>
    <row r="3" spans="2:8" x14ac:dyDescent="0.55000000000000004">
      <c r="B3">
        <v>710000</v>
      </c>
      <c r="C3" s="1">
        <v>50</v>
      </c>
      <c r="D3" s="1">
        <v>150</v>
      </c>
    </row>
    <row r="4" spans="2:8" x14ac:dyDescent="0.55000000000000004">
      <c r="B4">
        <v>600000</v>
      </c>
      <c r="C4" s="1">
        <v>250</v>
      </c>
      <c r="D4" s="1">
        <v>30</v>
      </c>
    </row>
    <row r="5" spans="2:8" x14ac:dyDescent="0.55000000000000004">
      <c r="B5">
        <v>610000</v>
      </c>
      <c r="C5" s="1">
        <v>90</v>
      </c>
      <c r="D5" s="1"/>
    </row>
    <row r="6" spans="2:8" x14ac:dyDescent="0.55000000000000004">
      <c r="B6">
        <v>620000</v>
      </c>
      <c r="C6" s="1">
        <v>120</v>
      </c>
      <c r="D6" s="1"/>
    </row>
    <row r="7" spans="2:8" x14ac:dyDescent="0.55000000000000004">
      <c r="B7">
        <v>440000</v>
      </c>
      <c r="C7" s="1"/>
      <c r="D7" s="1">
        <v>120</v>
      </c>
    </row>
    <row r="8" spans="2:8" x14ac:dyDescent="0.55000000000000004">
      <c r="B8" t="s">
        <v>18</v>
      </c>
      <c r="C8" s="9">
        <f>SUBTOTAL(109,tblTransactions[Dr Amount])</f>
        <v>510</v>
      </c>
      <c r="D8" s="9">
        <f>SUBTOTAL(109,tblTransactions[Cr Amount])</f>
        <v>800</v>
      </c>
    </row>
    <row r="11" spans="2:8" x14ac:dyDescent="0.55000000000000004">
      <c r="B11" t="s">
        <v>19</v>
      </c>
      <c r="C11" t="s">
        <v>22</v>
      </c>
      <c r="G11" t="s">
        <v>42</v>
      </c>
      <c r="H11" s="12">
        <f>RevenueCalc("7",tblTransactions2[Account],tblTransactions2[Amount],FALSE,"6",tblTransactions2[Account],tblTransactions2[Amount],FALSE)</f>
        <v>-170</v>
      </c>
    </row>
    <row r="12" spans="2:8" x14ac:dyDescent="0.55000000000000004">
      <c r="B12">
        <v>700000</v>
      </c>
      <c r="C12" s="8">
        <v>-500</v>
      </c>
    </row>
    <row r="13" spans="2:8" x14ac:dyDescent="0.55000000000000004">
      <c r="B13">
        <v>710000</v>
      </c>
      <c r="C13" s="8">
        <v>-100</v>
      </c>
    </row>
    <row r="14" spans="2:8" x14ac:dyDescent="0.55000000000000004">
      <c r="B14">
        <v>600000</v>
      </c>
      <c r="C14" s="8">
        <v>220</v>
      </c>
    </row>
    <row r="15" spans="2:8" x14ac:dyDescent="0.55000000000000004">
      <c r="B15">
        <v>610000</v>
      </c>
      <c r="C15" s="8">
        <v>90</v>
      </c>
    </row>
    <row r="16" spans="2:8" x14ac:dyDescent="0.55000000000000004">
      <c r="B16">
        <v>620000</v>
      </c>
      <c r="C16" s="8">
        <v>120</v>
      </c>
    </row>
    <row r="17" spans="2:8" x14ac:dyDescent="0.55000000000000004">
      <c r="B17">
        <v>440000</v>
      </c>
      <c r="C17" s="8">
        <v>-120</v>
      </c>
    </row>
    <row r="18" spans="2:8" x14ac:dyDescent="0.55000000000000004">
      <c r="B18" t="s">
        <v>18</v>
      </c>
      <c r="C18" s="11">
        <f>SUBTOTAL(109,tblTransactions2[Amount])</f>
        <v>-290</v>
      </c>
    </row>
    <row r="22" spans="2:8" x14ac:dyDescent="0.55000000000000004">
      <c r="B22" t="s">
        <v>19</v>
      </c>
      <c r="C22" t="s">
        <v>22</v>
      </c>
      <c r="G22" t="s">
        <v>42</v>
      </c>
      <c r="H22" s="13">
        <f>RevenueCalc("7",tblTransactions3[Account],tblTransactions3[Amount],TRUE,"6",tblTransactions3[Account],tblTransactions3[Amount],FALSE)</f>
        <v>-170</v>
      </c>
    </row>
    <row r="23" spans="2:8" x14ac:dyDescent="0.55000000000000004">
      <c r="B23">
        <v>700000</v>
      </c>
      <c r="C23" s="8">
        <v>500</v>
      </c>
    </row>
    <row r="24" spans="2:8" x14ac:dyDescent="0.55000000000000004">
      <c r="B24">
        <v>710000</v>
      </c>
      <c r="C24" s="8">
        <v>100</v>
      </c>
    </row>
    <row r="25" spans="2:8" x14ac:dyDescent="0.55000000000000004">
      <c r="B25">
        <v>600000</v>
      </c>
      <c r="C25" s="8">
        <v>220</v>
      </c>
    </row>
    <row r="26" spans="2:8" x14ac:dyDescent="0.55000000000000004">
      <c r="B26">
        <v>610000</v>
      </c>
      <c r="C26" s="8">
        <v>90</v>
      </c>
    </row>
    <row r="27" spans="2:8" x14ac:dyDescent="0.55000000000000004">
      <c r="B27">
        <v>620000</v>
      </c>
      <c r="C27" s="8">
        <v>120</v>
      </c>
    </row>
    <row r="28" spans="2:8" x14ac:dyDescent="0.55000000000000004">
      <c r="B28">
        <v>440000</v>
      </c>
      <c r="C28" s="8">
        <v>120</v>
      </c>
    </row>
    <row r="29" spans="2:8" x14ac:dyDescent="0.55000000000000004">
      <c r="B29" t="s">
        <v>18</v>
      </c>
      <c r="C29" s="11">
        <f>SUBTOTAL(109,tblTransactions3[Amount])</f>
        <v>1150</v>
      </c>
    </row>
  </sheetData>
  <pageMargins left="0.7" right="0.7" top="0.75" bottom="0.75" header="0.3" footer="0.3"/>
  <pageSetup paperSize="9" orientation="portrait" horizontalDpi="4294967293" verticalDpi="0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0.39997558519241921"/>
  </sheetPr>
  <dimension ref="A1:E35"/>
  <sheetViews>
    <sheetView workbookViewId="0">
      <selection activeCell="E4" sqref="E4"/>
    </sheetView>
  </sheetViews>
  <sheetFormatPr defaultRowHeight="14.4" x14ac:dyDescent="0.55000000000000004"/>
  <cols>
    <col min="1" max="1" width="15.47265625" customWidth="1"/>
    <col min="2" max="2" width="22.89453125" customWidth="1"/>
    <col min="3" max="3" width="10.89453125" customWidth="1"/>
    <col min="5" max="5" width="31.7890625" bestFit="1" customWidth="1"/>
  </cols>
  <sheetData>
    <row r="1" spans="1:5" x14ac:dyDescent="0.55000000000000004">
      <c r="B1" s="15" t="s">
        <v>40</v>
      </c>
      <c r="C1" s="18">
        <v>0</v>
      </c>
    </row>
    <row r="3" spans="1:5" x14ac:dyDescent="0.55000000000000004">
      <c r="A3" t="s">
        <v>23</v>
      </c>
      <c r="B3" t="s">
        <v>24</v>
      </c>
      <c r="C3" t="s">
        <v>22</v>
      </c>
      <c r="E3" t="s">
        <v>38</v>
      </c>
    </row>
    <row r="4" spans="1:5" x14ac:dyDescent="0.55000000000000004">
      <c r="A4">
        <v>499000</v>
      </c>
      <c r="B4" t="s">
        <v>25</v>
      </c>
      <c r="C4" s="17">
        <v>1000</v>
      </c>
      <c r="D4" s="14"/>
      <c r="E4" t="s">
        <v>39</v>
      </c>
    </row>
    <row r="5" spans="1:5" x14ac:dyDescent="0.55000000000000004">
      <c r="A5">
        <v>499000</v>
      </c>
      <c r="B5" t="s">
        <v>26</v>
      </c>
      <c r="C5" s="17">
        <v>-400</v>
      </c>
      <c r="D5" s="14"/>
    </row>
    <row r="6" spans="1:5" x14ac:dyDescent="0.55000000000000004">
      <c r="A6">
        <v>499000</v>
      </c>
      <c r="B6" t="s">
        <v>27</v>
      </c>
      <c r="C6" s="17">
        <v>2000</v>
      </c>
      <c r="D6" s="14"/>
      <c r="E6" s="15"/>
    </row>
    <row r="7" spans="1:5" x14ac:dyDescent="0.55000000000000004">
      <c r="A7">
        <v>499000</v>
      </c>
      <c r="B7" t="s">
        <v>28</v>
      </c>
      <c r="C7" s="17">
        <v>-600</v>
      </c>
      <c r="D7" s="14"/>
    </row>
    <row r="8" spans="1:5" x14ac:dyDescent="0.55000000000000004">
      <c r="A8">
        <v>499000</v>
      </c>
      <c r="B8" t="s">
        <v>29</v>
      </c>
      <c r="C8" s="17">
        <v>-1200</v>
      </c>
      <c r="D8" s="14"/>
    </row>
    <row r="9" spans="1:5" x14ac:dyDescent="0.55000000000000004">
      <c r="A9">
        <v>499000</v>
      </c>
      <c r="B9" t="s">
        <v>30</v>
      </c>
      <c r="C9" s="17">
        <v>-800</v>
      </c>
      <c r="D9" s="14"/>
    </row>
    <row r="10" spans="1:5" x14ac:dyDescent="0.55000000000000004">
      <c r="A10">
        <v>499000</v>
      </c>
      <c r="B10" t="s">
        <v>31</v>
      </c>
      <c r="C10" s="17">
        <v>1500</v>
      </c>
      <c r="D10" s="14"/>
    </row>
    <row r="11" spans="1:5" x14ac:dyDescent="0.55000000000000004">
      <c r="A11">
        <v>499000</v>
      </c>
      <c r="B11" t="s">
        <v>32</v>
      </c>
      <c r="C11" s="17">
        <v>-500</v>
      </c>
      <c r="D11" s="14"/>
    </row>
    <row r="12" spans="1:5" x14ac:dyDescent="0.55000000000000004">
      <c r="A12">
        <v>499000</v>
      </c>
      <c r="B12" t="s">
        <v>33</v>
      </c>
      <c r="C12" s="17">
        <v>3000</v>
      </c>
      <c r="D12" s="14"/>
    </row>
    <row r="13" spans="1:5" x14ac:dyDescent="0.55000000000000004">
      <c r="A13">
        <v>499000</v>
      </c>
      <c r="B13" t="s">
        <v>34</v>
      </c>
      <c r="C13" s="17">
        <v>-900</v>
      </c>
      <c r="D13" s="14"/>
    </row>
    <row r="14" spans="1:5" x14ac:dyDescent="0.55000000000000004">
      <c r="A14">
        <v>499000</v>
      </c>
      <c r="B14" t="s">
        <v>35</v>
      </c>
      <c r="C14" s="17">
        <v>-100</v>
      </c>
      <c r="D14" s="14"/>
    </row>
    <row r="15" spans="1:5" x14ac:dyDescent="0.55000000000000004">
      <c r="A15">
        <v>499000</v>
      </c>
      <c r="B15" t="s">
        <v>36</v>
      </c>
      <c r="C15" s="17">
        <v>-2000</v>
      </c>
      <c r="D15" s="14"/>
    </row>
    <row r="16" spans="1:5" x14ac:dyDescent="0.55000000000000004">
      <c r="A16">
        <v>499000</v>
      </c>
      <c r="B16" t="s">
        <v>37</v>
      </c>
      <c r="C16" s="17">
        <v>-1000</v>
      </c>
      <c r="D16" s="14"/>
    </row>
    <row r="17" spans="3:4" x14ac:dyDescent="0.55000000000000004">
      <c r="C17" s="14"/>
      <c r="D17" s="14"/>
    </row>
    <row r="18" spans="3:4" x14ac:dyDescent="0.55000000000000004">
      <c r="C18" s="14"/>
      <c r="D18" s="14"/>
    </row>
    <row r="19" spans="3:4" x14ac:dyDescent="0.55000000000000004">
      <c r="C19" s="14"/>
      <c r="D19" s="14"/>
    </row>
    <row r="20" spans="3:4" x14ac:dyDescent="0.55000000000000004">
      <c r="C20" s="14"/>
      <c r="D20" s="14"/>
    </row>
    <row r="21" spans="3:4" x14ac:dyDescent="0.55000000000000004">
      <c r="C21" s="14"/>
      <c r="D21" s="14"/>
    </row>
    <row r="22" spans="3:4" x14ac:dyDescent="0.55000000000000004">
      <c r="C22" s="14"/>
      <c r="D22" s="14"/>
    </row>
    <row r="23" spans="3:4" x14ac:dyDescent="0.55000000000000004">
      <c r="C23" s="14"/>
      <c r="D23" s="14"/>
    </row>
    <row r="24" spans="3:4" x14ac:dyDescent="0.55000000000000004">
      <c r="C24" s="14"/>
      <c r="D24" s="14"/>
    </row>
    <row r="25" spans="3:4" x14ac:dyDescent="0.55000000000000004">
      <c r="C25" s="14"/>
      <c r="D25" s="14"/>
    </row>
    <row r="26" spans="3:4" x14ac:dyDescent="0.55000000000000004">
      <c r="C26" s="14"/>
      <c r="D26" s="14"/>
    </row>
    <row r="27" spans="3:4" x14ac:dyDescent="0.55000000000000004">
      <c r="C27" s="14"/>
      <c r="D27" s="14"/>
    </row>
    <row r="28" spans="3:4" x14ac:dyDescent="0.55000000000000004">
      <c r="C28" s="14"/>
      <c r="D28" s="14"/>
    </row>
    <row r="29" spans="3:4" x14ac:dyDescent="0.55000000000000004">
      <c r="C29" s="14"/>
      <c r="D29" s="14"/>
    </row>
    <row r="30" spans="3:4" x14ac:dyDescent="0.55000000000000004">
      <c r="C30" s="14"/>
      <c r="D30" s="14"/>
    </row>
    <row r="31" spans="3:4" x14ac:dyDescent="0.55000000000000004">
      <c r="C31" s="14"/>
      <c r="D31" s="14"/>
    </row>
    <row r="32" spans="3:4" x14ac:dyDescent="0.55000000000000004">
      <c r="C32" s="14"/>
      <c r="D32" s="14"/>
    </row>
    <row r="33" spans="3:4" x14ac:dyDescent="0.55000000000000004">
      <c r="C33" s="14"/>
      <c r="D33" s="14"/>
    </row>
    <row r="34" spans="3:4" x14ac:dyDescent="0.55000000000000004">
      <c r="C34" s="14"/>
      <c r="D34" s="14"/>
    </row>
    <row r="35" spans="3:4" x14ac:dyDescent="0.55000000000000004">
      <c r="C35" s="14"/>
      <c r="D35" s="14"/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Commission Calculation</vt:lpstr>
      <vt:lpstr>Commission Calc Percentages</vt:lpstr>
      <vt:lpstr>RevenueCalc</vt:lpstr>
      <vt:lpstr>GiveColor</vt:lpstr>
      <vt:lpstr>SumSelected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</dc:creator>
  <cp:lastModifiedBy>Luc</cp:lastModifiedBy>
  <dcterms:created xsi:type="dcterms:W3CDTF">2016-11-08T16:22:22Z</dcterms:created>
  <dcterms:modified xsi:type="dcterms:W3CDTF">2017-10-21T16:40:45Z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MapLocation">
    <vt:lpwstr>IbAjPaSbk3ePRHtS6hz5DWtEIsxudnHPtMNhDhxK/Zs79O84/d8/EiESmCX3O4x+iGBozFVQ86iLJKWIiqy1KTolDvSi8Vf8OjM1i1ZxWJ7MAGn8olQ11OJy4VLUlVZ0Z6pgzsrdXPmjjZOZTCI/60HwxqUaMIFhOJ4P7vT/u+ZioL1SuhHsL7f0GlbGbnCH4AskcBE27qcvInPsX4CsXdnyGPJJwpXkYbNZEPf+lE/Jz3lsCvpWvKMfevzMUjJ</vt:lpwstr>
  </property>
  <property fmtid="{D5CDD505-2E9C-101B-9397-08002B2CF9AE}" pid="3" name="PriorMapLocation">
    <vt:lpwstr>1Set2jh5Jw4elU2PPoGKHvcvzumfxFPbHIuhbuJMhLjnfLTfON8J/Ye95xpJpw92aaWAk2/ZLWGEpKYsye/kp3Ju4yUsLU5KCZY2t+t2kDTU=</vt:lpwstr>
  </property>
  <property fmtid="{D5CDD505-2E9C-101B-9397-08002B2CF9AE}" pid="4" name="MAPCITE Version">
    <vt:lpwstr>Version 1.5.7.0</vt:lpwstr>
  </property>
</Properties>
</file>